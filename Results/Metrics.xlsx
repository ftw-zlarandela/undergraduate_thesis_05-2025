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cer\Desktop\Thesis_0419\"/>
    </mc:Choice>
  </mc:AlternateContent>
  <xr:revisionPtr revIDLastSave="0" documentId="13_ncr:1_{603A31B8-1004-4AFC-A9DF-9D67BEAE2F8C}" xr6:coauthVersionLast="47" xr6:coauthVersionMax="47" xr10:uidLastSave="{00000000-0000-0000-0000-000000000000}"/>
  <bookViews>
    <workbookView xWindow="-23085" yWindow="-1740" windowWidth="15375" windowHeight="8325" xr2:uid="{3E5850CD-1430-405C-B9DE-0FF5AC4A5A49}"/>
  </bookViews>
  <sheets>
    <sheet name="Sheet1" sheetId="1" r:id="rId1"/>
    <sheet name="SD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S14" i="1"/>
  <c r="R15" i="1"/>
  <c r="R14" i="1"/>
  <c r="Q15" i="1"/>
  <c r="Q14" i="1"/>
  <c r="P15" i="1"/>
  <c r="P14" i="1"/>
  <c r="K15" i="1"/>
  <c r="K14" i="1"/>
  <c r="J15" i="1"/>
  <c r="J14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O24" i="2"/>
  <c r="AN24" i="2"/>
  <c r="AM24" i="2"/>
  <c r="AJ24" i="2"/>
  <c r="AI24" i="2"/>
  <c r="AH24" i="2"/>
  <c r="AE24" i="2"/>
  <c r="AD24" i="2"/>
  <c r="AC24" i="2"/>
  <c r="Z24" i="2"/>
  <c r="Y24" i="2"/>
  <c r="X24" i="2"/>
  <c r="U24" i="2"/>
  <c r="T24" i="2"/>
  <c r="R24" i="2"/>
  <c r="P24" i="2"/>
  <c r="O24" i="2"/>
  <c r="N24" i="2"/>
  <c r="K24" i="2"/>
  <c r="J24" i="2"/>
  <c r="I24" i="2"/>
  <c r="F24" i="2"/>
  <c r="E24" i="2"/>
  <c r="D24" i="2"/>
  <c r="U23" i="2"/>
  <c r="T23" i="2"/>
  <c r="S23" i="2"/>
  <c r="S24" i="2" s="1"/>
  <c r="R23" i="2"/>
  <c r="Q23" i="2"/>
  <c r="Q24" i="2" s="1"/>
  <c r="P23" i="2"/>
  <c r="O23" i="2"/>
  <c r="N23" i="2"/>
  <c r="M23" i="2"/>
  <c r="M24" i="2" s="1"/>
  <c r="L23" i="2"/>
  <c r="L24" i="2" s="1"/>
  <c r="K23" i="2"/>
  <c r="J23" i="2"/>
  <c r="I23" i="2"/>
  <c r="H23" i="2"/>
  <c r="H24" i="2" s="1"/>
  <c r="G23" i="2"/>
  <c r="G24" i="2" s="1"/>
  <c r="F23" i="2"/>
  <c r="E23" i="2"/>
  <c r="D23" i="2"/>
  <c r="C23" i="2"/>
  <c r="C24" i="2" s="1"/>
  <c r="B23" i="2"/>
  <c r="B24" i="2" s="1"/>
  <c r="AO23" i="2"/>
  <c r="AN23" i="2"/>
  <c r="AM23" i="2"/>
  <c r="AL23" i="2"/>
  <c r="AL24" i="2" s="1"/>
  <c r="AK23" i="2"/>
  <c r="AK24" i="2" s="1"/>
  <c r="AJ23" i="2"/>
  <c r="AI23" i="2"/>
  <c r="AH23" i="2"/>
  <c r="AG23" i="2"/>
  <c r="AG24" i="2" s="1"/>
  <c r="AF23" i="2"/>
  <c r="AF24" i="2" s="1"/>
  <c r="AE23" i="2"/>
  <c r="AD23" i="2"/>
  <c r="AC23" i="2"/>
  <c r="AB23" i="2"/>
  <c r="AB24" i="2" s="1"/>
  <c r="AA23" i="2"/>
  <c r="AA24" i="2" s="1"/>
  <c r="Z23" i="2"/>
  <c r="Y23" i="2"/>
  <c r="X23" i="2"/>
  <c r="W23" i="2"/>
  <c r="W24" i="2" s="1"/>
  <c r="V23" i="2"/>
  <c r="V24" i="2" s="1"/>
  <c r="AO25" i="2" l="1"/>
  <c r="AJ25" i="2"/>
  <c r="AE25" i="2"/>
  <c r="Z25" i="2"/>
  <c r="U25" i="2"/>
  <c r="P25" i="2"/>
  <c r="K25" i="2"/>
  <c r="F25" i="2"/>
</calcChain>
</file>

<file path=xl/sharedStrings.xml><?xml version="1.0" encoding="utf-8"?>
<sst xmlns="http://schemas.openxmlformats.org/spreadsheetml/2006/main" count="41" uniqueCount="21">
  <si>
    <t>Aspen</t>
  </si>
  <si>
    <t>PSNR</t>
  </si>
  <si>
    <t>SSIM</t>
  </si>
  <si>
    <t>Crowd</t>
  </si>
  <si>
    <t>Ducks</t>
  </si>
  <si>
    <t>Life</t>
  </si>
  <si>
    <t>Pedestrian</t>
  </si>
  <si>
    <t>Rush</t>
  </si>
  <si>
    <t>Sintel</t>
  </si>
  <si>
    <t>Sunflower</t>
  </si>
  <si>
    <t>Static</t>
  </si>
  <si>
    <t>VHS</t>
  </si>
  <si>
    <t>VHS2</t>
  </si>
  <si>
    <t>BER</t>
  </si>
  <si>
    <t>Rotating</t>
  </si>
  <si>
    <t>Gaussian</t>
  </si>
  <si>
    <t>Frame Swapping</t>
  </si>
  <si>
    <t>NC</t>
  </si>
  <si>
    <t>Total</t>
  </si>
  <si>
    <t>Average</t>
  </si>
  <si>
    <t>Respondent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</si>
</sst>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164" fontId="0" fillId="0" borderId="4" xfId="0" applyNumberForma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D766-B954-44F0-B5F3-4B960D437EF2}">
  <dimension ref="A1:S21"/>
  <sheetViews>
    <sheetView tabSelected="1" topLeftCell="E7" workbookViewId="0">
      <selection activeCell="Q16" sqref="Q16"/>
    </sheetView>
  </sheetViews>
  <sheetFormatPr defaultRowHeight="15" x14ac:dyDescent="0.25"/>
  <cols>
    <col min="1" max="1" width="12.28515625" customWidth="1"/>
    <col min="2" max="2" width="10" customWidth="1"/>
    <col min="3" max="3" width="10.85546875" customWidth="1"/>
  </cols>
  <sheetData>
    <row r="1" spans="1:19" x14ac:dyDescent="0.25">
      <c r="F1" s="13" t="s">
        <v>14</v>
      </c>
      <c r="G1" s="13"/>
      <c r="H1" s="13"/>
      <c r="I1" s="13"/>
      <c r="J1" s="13"/>
      <c r="K1" s="13"/>
      <c r="L1" s="13" t="s">
        <v>15</v>
      </c>
      <c r="M1" s="13"/>
      <c r="N1" s="13"/>
      <c r="O1" s="13"/>
      <c r="P1" s="13"/>
      <c r="Q1" s="13"/>
      <c r="R1" s="13" t="s">
        <v>16</v>
      </c>
      <c r="S1" s="13"/>
    </row>
    <row r="2" spans="1:19" x14ac:dyDescent="0.25">
      <c r="F2" s="13">
        <v>45</v>
      </c>
      <c r="G2" s="13"/>
      <c r="H2" s="13">
        <v>90</v>
      </c>
      <c r="I2" s="13"/>
      <c r="J2" s="13">
        <v>135</v>
      </c>
      <c r="K2" s="13"/>
      <c r="L2" s="4" t="s">
        <v>11</v>
      </c>
      <c r="M2" s="4"/>
      <c r="N2" s="13" t="s">
        <v>12</v>
      </c>
      <c r="O2" s="13"/>
      <c r="P2" s="13" t="s">
        <v>10</v>
      </c>
      <c r="Q2" s="13"/>
      <c r="R2" s="13"/>
      <c r="S2" s="13"/>
    </row>
    <row r="3" spans="1:19" x14ac:dyDescent="0.25">
      <c r="B3" t="s">
        <v>1</v>
      </c>
      <c r="C3" t="s">
        <v>2</v>
      </c>
      <c r="F3" t="s">
        <v>17</v>
      </c>
      <c r="G3" t="s">
        <v>13</v>
      </c>
      <c r="H3" t="s">
        <v>17</v>
      </c>
      <c r="I3" t="s">
        <v>13</v>
      </c>
      <c r="J3" t="s">
        <v>17</v>
      </c>
      <c r="K3" t="s">
        <v>13</v>
      </c>
      <c r="L3" t="s">
        <v>17</v>
      </c>
      <c r="M3" t="s">
        <v>13</v>
      </c>
      <c r="N3" t="s">
        <v>17</v>
      </c>
      <c r="O3" t="s">
        <v>13</v>
      </c>
      <c r="P3" t="s">
        <v>17</v>
      </c>
      <c r="Q3" t="s">
        <v>13</v>
      </c>
      <c r="R3" t="s">
        <v>17</v>
      </c>
      <c r="S3" t="s">
        <v>13</v>
      </c>
    </row>
    <row r="4" spans="1:19" x14ac:dyDescent="0.25">
      <c r="A4" t="s">
        <v>0</v>
      </c>
      <c r="B4">
        <v>33.295999999999999</v>
      </c>
      <c r="C4">
        <v>0.96089999999999998</v>
      </c>
      <c r="F4" s="5">
        <v>0.85833883</v>
      </c>
      <c r="G4" s="5">
        <v>0.11171504858819201</v>
      </c>
      <c r="H4" s="5">
        <v>0.93008230000000003</v>
      </c>
      <c r="I4" s="5">
        <v>0.108035186331132</v>
      </c>
      <c r="J4" s="5">
        <v>0.84524169999999998</v>
      </c>
      <c r="K4" s="5">
        <v>0.10736191900439999</v>
      </c>
      <c r="L4" s="5">
        <v>0.94200592999999999</v>
      </c>
      <c r="M4" s="5">
        <v>0.10755121241290699</v>
      </c>
      <c r="N4" s="5">
        <v>0.94212686999999995</v>
      </c>
      <c r="O4" s="5">
        <v>0.106497977401906</v>
      </c>
      <c r="P4" s="5">
        <v>0.86381929999999996</v>
      </c>
      <c r="Q4" s="5">
        <v>0.11073581889438899</v>
      </c>
      <c r="R4" s="5">
        <v>0.94212240000000003</v>
      </c>
      <c r="S4" s="5">
        <v>0.10645805257609001</v>
      </c>
    </row>
    <row r="5" spans="1:19" x14ac:dyDescent="0.25">
      <c r="A5" t="s">
        <v>3</v>
      </c>
      <c r="B5">
        <v>27.067299999999999</v>
      </c>
      <c r="C5">
        <v>0.8296</v>
      </c>
      <c r="F5" s="5">
        <v>0.80434930000000004</v>
      </c>
      <c r="G5" s="5">
        <v>0.11530643220572</v>
      </c>
      <c r="H5" s="5">
        <v>0.98046785999999997</v>
      </c>
      <c r="I5" s="5">
        <v>0.101324807480747</v>
      </c>
      <c r="J5" s="5">
        <v>0.82974999999999999</v>
      </c>
      <c r="K5" s="5">
        <v>0.11527719907407399</v>
      </c>
      <c r="L5" s="5">
        <v>0.98538744</v>
      </c>
      <c r="M5" s="5">
        <v>0.101330737761276</v>
      </c>
      <c r="N5" s="5">
        <v>0.98536663999999996</v>
      </c>
      <c r="O5" s="5">
        <v>0.101864382792445</v>
      </c>
      <c r="P5" s="5">
        <v>0.88434860000000004</v>
      </c>
      <c r="Q5" s="5">
        <v>0.11773126375137399</v>
      </c>
      <c r="R5" s="5">
        <v>0.95565856000000005</v>
      </c>
      <c r="S5" s="5">
        <v>0.10706431632746601</v>
      </c>
    </row>
    <row r="6" spans="1:19" x14ac:dyDescent="0.25">
      <c r="A6" t="s">
        <v>4</v>
      </c>
      <c r="B6">
        <v>28.932400000000001</v>
      </c>
      <c r="C6">
        <v>0.86129999999999995</v>
      </c>
      <c r="F6" s="5">
        <v>0.77215635999999999</v>
      </c>
      <c r="G6" s="5">
        <v>0.114899970205353</v>
      </c>
      <c r="H6" s="5">
        <v>0.90408560000000004</v>
      </c>
      <c r="I6" s="5">
        <v>0.109626569948661</v>
      </c>
      <c r="J6" s="5">
        <v>0.80623590000000001</v>
      </c>
      <c r="K6" s="5">
        <v>0.115127102814447</v>
      </c>
      <c r="L6" s="5">
        <v>0.91293639999999998</v>
      </c>
      <c r="M6" s="5">
        <v>0.10941666093692699</v>
      </c>
      <c r="N6" s="5">
        <v>0.91295479999999996</v>
      </c>
      <c r="O6" s="5">
        <v>0.111378947790612</v>
      </c>
      <c r="P6" s="5">
        <v>0.86152759999999995</v>
      </c>
      <c r="Q6" s="5">
        <v>0.11533509809314201</v>
      </c>
      <c r="R6" s="5">
        <v>0.88739692999999997</v>
      </c>
      <c r="S6" s="5">
        <v>0.12825111729923</v>
      </c>
    </row>
    <row r="7" spans="1:19" x14ac:dyDescent="0.25">
      <c r="A7" t="s">
        <v>5</v>
      </c>
      <c r="B7">
        <v>29.160299999999999</v>
      </c>
      <c r="C7">
        <v>0.9113</v>
      </c>
      <c r="F7" s="5">
        <v>0.88628989999999996</v>
      </c>
      <c r="G7" s="5">
        <v>0.11406405275944199</v>
      </c>
      <c r="H7" s="5">
        <v>0.84097469999999996</v>
      </c>
      <c r="I7" s="5">
        <v>0.11119795104510399</v>
      </c>
      <c r="J7" s="5">
        <v>0.84692970000000001</v>
      </c>
      <c r="K7" s="5">
        <v>0.11796315204437</v>
      </c>
      <c r="L7" s="5">
        <v>0.92842363999999999</v>
      </c>
      <c r="M7" s="5">
        <v>0.10957428607444</v>
      </c>
      <c r="N7" s="5">
        <v>0.92846660000000003</v>
      </c>
      <c r="O7" s="5">
        <v>0.109356200724239</v>
      </c>
      <c r="P7" s="5">
        <v>0.84166353999999999</v>
      </c>
      <c r="Q7" s="5">
        <v>0.112086209662632</v>
      </c>
      <c r="R7" s="5">
        <v>0.79833240000000005</v>
      </c>
      <c r="S7" s="5">
        <v>0.112847256600659</v>
      </c>
    </row>
    <row r="8" spans="1:19" x14ac:dyDescent="0.25">
      <c r="A8" t="s">
        <v>6</v>
      </c>
      <c r="B8">
        <v>33.081400000000002</v>
      </c>
      <c r="C8">
        <v>0.93669999999999998</v>
      </c>
      <c r="F8" s="5">
        <v>0.83316517000000001</v>
      </c>
      <c r="G8" s="5">
        <v>0.106585206958195</v>
      </c>
      <c r="H8" s="5">
        <v>0.92741423999999995</v>
      </c>
      <c r="I8" s="5">
        <v>0.104501037082874</v>
      </c>
      <c r="J8" s="5">
        <v>0.83830269999999996</v>
      </c>
      <c r="K8" s="5">
        <v>0.10502246630913099</v>
      </c>
      <c r="L8" s="5">
        <v>0.92739850000000001</v>
      </c>
      <c r="M8" s="5">
        <v>0.10695769160249299</v>
      </c>
      <c r="N8" s="5">
        <v>0.92716472999999999</v>
      </c>
      <c r="O8" s="5">
        <v>0.104230404290428</v>
      </c>
      <c r="P8" s="5">
        <v>0.85245013000000003</v>
      </c>
      <c r="Q8" s="5">
        <v>0.10720728479097801</v>
      </c>
      <c r="R8" s="5">
        <v>0.92716290000000001</v>
      </c>
      <c r="S8" s="5">
        <v>0.104227940502383</v>
      </c>
    </row>
    <row r="9" spans="1:19" x14ac:dyDescent="0.25">
      <c r="A9" t="s">
        <v>7</v>
      </c>
      <c r="B9">
        <v>34.363</v>
      </c>
      <c r="C9">
        <v>0.97189999999999999</v>
      </c>
      <c r="F9" s="5">
        <v>0.89973979999999998</v>
      </c>
      <c r="G9" s="5">
        <v>0.107838977126879</v>
      </c>
      <c r="H9" s="5">
        <v>0.94160794999999997</v>
      </c>
      <c r="I9" s="5">
        <v>0.10510847543087599</v>
      </c>
      <c r="J9" s="5">
        <v>0.84061240000000004</v>
      </c>
      <c r="K9" s="5">
        <v>0.112017338192152</v>
      </c>
      <c r="L9" s="5">
        <v>0.96898264000000001</v>
      </c>
      <c r="M9" s="5">
        <v>0.104355324074074</v>
      </c>
      <c r="N9" s="5">
        <v>0.96899444000000001</v>
      </c>
      <c r="O9" s="5">
        <v>0.104495605289695</v>
      </c>
      <c r="P9" s="5">
        <v>0.90338309999999999</v>
      </c>
      <c r="Q9" s="5">
        <v>0.107457995278694</v>
      </c>
      <c r="R9" s="5">
        <v>0.96900929999999996</v>
      </c>
      <c r="S9" s="5">
        <v>0.104577259809314</v>
      </c>
    </row>
    <row r="10" spans="1:19" x14ac:dyDescent="0.25">
      <c r="A10" t="s">
        <v>8</v>
      </c>
      <c r="B10">
        <v>37.305100000000003</v>
      </c>
      <c r="C10">
        <v>0.96750000000000003</v>
      </c>
      <c r="F10" s="5">
        <v>0.82063496000000002</v>
      </c>
      <c r="G10" s="5">
        <v>0.111108813485515</v>
      </c>
      <c r="H10" s="5">
        <v>0.75100330000000004</v>
      </c>
      <c r="I10" s="5">
        <v>0.111328463054638</v>
      </c>
      <c r="J10" s="5">
        <v>0.77928240000000004</v>
      </c>
      <c r="K10" s="5">
        <v>0.109881503254491</v>
      </c>
      <c r="L10" s="5">
        <v>0.90269299999999997</v>
      </c>
      <c r="M10" s="5">
        <v>0.110364531765676</v>
      </c>
      <c r="N10" s="5">
        <v>0.90269140000000003</v>
      </c>
      <c r="O10" s="5">
        <v>0.110312104647965</v>
      </c>
      <c r="P10" s="5">
        <v>0.75984967000000003</v>
      </c>
      <c r="Q10" s="5">
        <v>0.112063955353868</v>
      </c>
      <c r="R10" s="5">
        <v>0.84633659999999999</v>
      </c>
      <c r="S10" s="5">
        <v>0.110224628712871</v>
      </c>
    </row>
    <row r="11" spans="1:19" x14ac:dyDescent="0.25">
      <c r="A11" t="s">
        <v>9</v>
      </c>
      <c r="B11">
        <v>34.263800000000003</v>
      </c>
      <c r="C11">
        <v>0.96940000000000004</v>
      </c>
      <c r="F11" s="5">
        <v>0.82452340000000002</v>
      </c>
      <c r="G11" s="5">
        <v>0.114051000412541</v>
      </c>
      <c r="H11" s="5">
        <v>0.95028199999999996</v>
      </c>
      <c r="I11" s="5">
        <v>0.106266490190685</v>
      </c>
      <c r="J11" s="5">
        <v>0.88274090000000005</v>
      </c>
      <c r="K11" s="5">
        <v>0.104172682893289</v>
      </c>
      <c r="L11" s="5">
        <v>0.95243602999999999</v>
      </c>
      <c r="M11" s="5">
        <v>0.107724525577557</v>
      </c>
      <c r="N11" s="5">
        <v>0.95244340000000005</v>
      </c>
      <c r="O11" s="5">
        <v>0.107769887926292</v>
      </c>
      <c r="P11" s="5">
        <v>0.92200833999999998</v>
      </c>
      <c r="Q11" s="5">
        <v>0.108879876008434</v>
      </c>
      <c r="R11" s="5">
        <v>0.95243155999999995</v>
      </c>
      <c r="S11" s="5">
        <v>0.107782602218554</v>
      </c>
    </row>
    <row r="12" spans="1:19" x14ac:dyDescent="0.25">
      <c r="F12">
        <f>SUM(F4:F11)/8</f>
        <v>0.8373997150000001</v>
      </c>
      <c r="G12">
        <f t="shared" ref="G12:S12" si="0">SUM(G4:G11)/8</f>
        <v>0.11194618771772961</v>
      </c>
      <c r="H12">
        <f t="shared" si="0"/>
        <v>0.90323974374999993</v>
      </c>
      <c r="I12">
        <f t="shared" si="0"/>
        <v>0.10717362257058964</v>
      </c>
      <c r="J12">
        <f t="shared" si="0"/>
        <v>0.83363696249999997</v>
      </c>
      <c r="K12">
        <f t="shared" si="0"/>
        <v>0.11085292044829424</v>
      </c>
      <c r="L12">
        <f t="shared" si="0"/>
        <v>0.9400329475000001</v>
      </c>
      <c r="M12">
        <f t="shared" si="0"/>
        <v>0.10715937127566874</v>
      </c>
      <c r="N12">
        <f t="shared" si="0"/>
        <v>0.94002611000000003</v>
      </c>
      <c r="O12">
        <f t="shared" si="0"/>
        <v>0.10698818885794775</v>
      </c>
      <c r="P12">
        <f t="shared" si="0"/>
        <v>0.86113128500000002</v>
      </c>
      <c r="Q12">
        <f t="shared" si="0"/>
        <v>0.11143718772918888</v>
      </c>
      <c r="R12">
        <f t="shared" si="0"/>
        <v>0.90980633124999999</v>
      </c>
      <c r="S12">
        <f t="shared" si="0"/>
        <v>0.11017914675582087</v>
      </c>
    </row>
    <row r="13" spans="1:19" ht="15.75" x14ac:dyDescent="0.25">
      <c r="B13" s="3"/>
      <c r="C13" s="3"/>
      <c r="D13" s="3"/>
      <c r="E13" s="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.75" x14ac:dyDescent="0.25">
      <c r="B14" s="1">
        <v>5.47</v>
      </c>
      <c r="C14" s="1">
        <v>2.4500000000000002</v>
      </c>
      <c r="D14" s="1">
        <v>0.44790000000000002</v>
      </c>
      <c r="E14" s="1"/>
      <c r="F14" s="6"/>
      <c r="G14" s="6"/>
      <c r="H14" s="6"/>
      <c r="I14" s="6"/>
      <c r="J14" s="16">
        <f>MIN(F4:F12,H4:H12, J4:J12)</f>
        <v>0.75100330000000004</v>
      </c>
      <c r="K14" s="16">
        <f>MIN(G4:G12,I4:I12, K4:K12)</f>
        <v>0.101324807480747</v>
      </c>
      <c r="L14" s="6"/>
      <c r="M14" s="6"/>
      <c r="N14" s="6"/>
      <c r="O14" s="6"/>
      <c r="P14" s="16">
        <f>MIN(L4:L12,N4:N12, P4:P12)</f>
        <v>0.75984967000000003</v>
      </c>
      <c r="Q14" s="16">
        <f>MIN(M4:M12,O4:O12, Q4:Q12)</f>
        <v>0.101330737761276</v>
      </c>
      <c r="R14" s="16">
        <f>MIN(R4:R12)</f>
        <v>0.79833240000000005</v>
      </c>
      <c r="S14" s="16">
        <f>MIN(S4:S12)</f>
        <v>0.104227940502383</v>
      </c>
    </row>
    <row r="15" spans="1:19" ht="15.75" x14ac:dyDescent="0.25">
      <c r="B15" s="1">
        <v>22.6</v>
      </c>
      <c r="C15" s="1">
        <v>10.6</v>
      </c>
      <c r="D15" s="1">
        <v>0.46899999999999997</v>
      </c>
      <c r="E15" s="1"/>
      <c r="F15" s="6"/>
      <c r="G15" s="6"/>
      <c r="H15" s="6"/>
      <c r="I15" s="6"/>
      <c r="J15" s="16">
        <f>MAX(F4:F12,H4:H12, J4:J12)</f>
        <v>0.98046785999999997</v>
      </c>
      <c r="K15" s="16">
        <f>MAX(G4:G12,I4:I12, K4:K12)</f>
        <v>0.11796315204437</v>
      </c>
      <c r="L15" s="6"/>
      <c r="M15" s="6"/>
      <c r="N15" s="6"/>
      <c r="O15" s="6"/>
      <c r="P15" s="16">
        <f>MAX(L4:L12,N4:N12, P4:P12)</f>
        <v>0.98538744</v>
      </c>
      <c r="Q15" s="16">
        <f>MAX(M4:M12,O4:O12, Q4:Q12)</f>
        <v>0.11773126375137399</v>
      </c>
      <c r="R15" s="16">
        <f>MAX(R4:R12)</f>
        <v>0.96900929999999996</v>
      </c>
      <c r="S15" s="16">
        <f>MAX(S4:S12)</f>
        <v>0.12825111729923</v>
      </c>
    </row>
    <row r="16" spans="1:19" ht="15.75" x14ac:dyDescent="0.25">
      <c r="B16" s="1">
        <v>35.6</v>
      </c>
      <c r="C16" s="1">
        <v>13.5</v>
      </c>
      <c r="D16" s="1">
        <v>0.37919999999999998</v>
      </c>
      <c r="E16" s="1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2:19" ht="15.75" x14ac:dyDescent="0.25">
      <c r="B17" s="1">
        <v>6.81</v>
      </c>
      <c r="C17" s="1">
        <v>3.87</v>
      </c>
      <c r="D17" s="1">
        <v>0.56830000000000003</v>
      </c>
      <c r="E17" s="1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2:19" ht="15.75" x14ac:dyDescent="0.25">
      <c r="B18" s="1">
        <v>4.59</v>
      </c>
      <c r="C18" s="1">
        <v>2.69</v>
      </c>
      <c r="D18" s="1">
        <v>0.58609999999999995</v>
      </c>
      <c r="E18" s="1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2:19" ht="15.75" x14ac:dyDescent="0.25">
      <c r="B19" s="1">
        <v>4.37</v>
      </c>
      <c r="C19" s="1">
        <v>2.7</v>
      </c>
      <c r="D19" s="1">
        <v>0.61780000000000002</v>
      </c>
      <c r="E19" s="1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2:19" ht="15.75" x14ac:dyDescent="0.25">
      <c r="B20" s="1">
        <v>2.34</v>
      </c>
      <c r="C20" s="1">
        <v>0.99399999999999999</v>
      </c>
      <c r="D20" s="1">
        <v>0.42480000000000001</v>
      </c>
      <c r="E20" s="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2:19" ht="15.75" x14ac:dyDescent="0.25">
      <c r="B21" s="2">
        <v>2.99</v>
      </c>
      <c r="C21" s="2">
        <v>2</v>
      </c>
      <c r="D21" s="2">
        <v>0.66890000000000005</v>
      </c>
      <c r="E21" s="1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</sheetData>
  <mergeCells count="8">
    <mergeCell ref="F1:K1"/>
    <mergeCell ref="R1:S2"/>
    <mergeCell ref="F2:G2"/>
    <mergeCell ref="H2:I2"/>
    <mergeCell ref="J2:K2"/>
    <mergeCell ref="P2:Q2"/>
    <mergeCell ref="N2:O2"/>
    <mergeCell ref="L1:Q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D8EA-F097-42A6-8FFE-C9DB987203E5}">
  <dimension ref="A1:AP25"/>
  <sheetViews>
    <sheetView workbookViewId="0">
      <pane ySplit="1" topLeftCell="A5" activePane="bottomLeft" state="frozen"/>
      <selection activeCell="S1" sqref="S1"/>
      <selection pane="bottomLeft" activeCell="AG18" sqref="AG18"/>
    </sheetView>
  </sheetViews>
  <sheetFormatPr defaultRowHeight="15" x14ac:dyDescent="0.25"/>
  <cols>
    <col min="1" max="1" width="11.85546875" customWidth="1"/>
  </cols>
  <sheetData>
    <row r="1" spans="1:42" x14ac:dyDescent="0.25">
      <c r="B1" s="15" t="s">
        <v>0</v>
      </c>
      <c r="C1" s="13"/>
      <c r="D1" s="13"/>
      <c r="E1" s="13"/>
      <c r="F1" s="14"/>
      <c r="G1" s="13" t="s">
        <v>3</v>
      </c>
      <c r="H1" s="13"/>
      <c r="I1" s="13"/>
      <c r="J1" s="13"/>
      <c r="K1" s="14"/>
      <c r="L1" s="15" t="s">
        <v>4</v>
      </c>
      <c r="M1" s="13"/>
      <c r="N1" s="13"/>
      <c r="O1" s="13"/>
      <c r="P1" s="14"/>
      <c r="Q1" s="15" t="s">
        <v>5</v>
      </c>
      <c r="R1" s="13"/>
      <c r="S1" s="13"/>
      <c r="T1" s="13"/>
      <c r="U1" s="14"/>
      <c r="V1" s="15" t="s">
        <v>6</v>
      </c>
      <c r="W1" s="13"/>
      <c r="X1" s="13"/>
      <c r="Y1" s="13"/>
      <c r="Z1" s="14"/>
      <c r="AA1" s="15" t="s">
        <v>7</v>
      </c>
      <c r="AB1" s="13"/>
      <c r="AC1" s="13"/>
      <c r="AD1" s="13"/>
      <c r="AE1" s="14"/>
      <c r="AF1" s="13" t="s">
        <v>8</v>
      </c>
      <c r="AG1" s="13"/>
      <c r="AH1" s="13"/>
      <c r="AI1" s="13"/>
      <c r="AJ1" s="14"/>
      <c r="AK1" s="15" t="s">
        <v>9</v>
      </c>
      <c r="AL1" s="13"/>
      <c r="AM1" s="13"/>
      <c r="AN1" s="13"/>
      <c r="AO1" s="14"/>
    </row>
    <row r="2" spans="1:42" x14ac:dyDescent="0.25">
      <c r="A2" t="s">
        <v>20</v>
      </c>
      <c r="B2" s="7">
        <v>0</v>
      </c>
      <c r="C2">
        <v>-1</v>
      </c>
      <c r="D2">
        <v>-2</v>
      </c>
      <c r="E2">
        <v>-3</v>
      </c>
      <c r="F2" s="8">
        <v>-4</v>
      </c>
      <c r="G2">
        <v>0</v>
      </c>
      <c r="H2">
        <v>-1</v>
      </c>
      <c r="I2">
        <v>-2</v>
      </c>
      <c r="J2">
        <v>-3</v>
      </c>
      <c r="K2" s="8">
        <v>-4</v>
      </c>
      <c r="L2" s="7">
        <v>0</v>
      </c>
      <c r="M2">
        <v>-1</v>
      </c>
      <c r="N2">
        <v>-2</v>
      </c>
      <c r="O2">
        <v>-3</v>
      </c>
      <c r="P2" s="8">
        <v>-4</v>
      </c>
      <c r="Q2" s="7">
        <v>0</v>
      </c>
      <c r="R2">
        <v>-1</v>
      </c>
      <c r="S2">
        <v>-2</v>
      </c>
      <c r="T2">
        <v>-3</v>
      </c>
      <c r="U2" s="8">
        <v>-4</v>
      </c>
      <c r="V2" s="7">
        <v>0</v>
      </c>
      <c r="W2">
        <v>-1</v>
      </c>
      <c r="X2">
        <v>-2</v>
      </c>
      <c r="Y2">
        <v>-3</v>
      </c>
      <c r="Z2" s="8">
        <v>-4</v>
      </c>
      <c r="AA2" s="7">
        <v>0</v>
      </c>
      <c r="AB2">
        <v>-1</v>
      </c>
      <c r="AC2">
        <v>-2</v>
      </c>
      <c r="AD2">
        <v>-3</v>
      </c>
      <c r="AE2" s="8">
        <v>-4</v>
      </c>
      <c r="AF2">
        <v>0</v>
      </c>
      <c r="AG2">
        <v>-1</v>
      </c>
      <c r="AH2">
        <v>-2</v>
      </c>
      <c r="AI2">
        <v>-3</v>
      </c>
      <c r="AJ2" s="8">
        <v>-4</v>
      </c>
      <c r="AK2" s="7">
        <v>0</v>
      </c>
      <c r="AL2">
        <v>-1</v>
      </c>
      <c r="AM2">
        <v>-2</v>
      </c>
      <c r="AN2">
        <v>-3</v>
      </c>
      <c r="AO2" s="8">
        <v>-4</v>
      </c>
    </row>
    <row r="3" spans="1:42" x14ac:dyDescent="0.25">
      <c r="A3">
        <v>1</v>
      </c>
      <c r="B3" s="7">
        <v>2</v>
      </c>
      <c r="F3" s="8"/>
      <c r="G3">
        <v>2</v>
      </c>
      <c r="K3" s="8"/>
      <c r="L3" s="7">
        <v>1</v>
      </c>
      <c r="M3">
        <v>1</v>
      </c>
      <c r="P3" s="8"/>
      <c r="Q3" s="7">
        <v>2</v>
      </c>
      <c r="U3" s="8"/>
      <c r="V3" s="7">
        <v>2</v>
      </c>
      <c r="Z3" s="8"/>
      <c r="AA3" s="7">
        <v>2</v>
      </c>
      <c r="AE3" s="8"/>
      <c r="AF3">
        <v>2</v>
      </c>
      <c r="AJ3" s="8"/>
      <c r="AK3" s="7">
        <v>2</v>
      </c>
      <c r="AO3" s="8"/>
    </row>
    <row r="4" spans="1:42" x14ac:dyDescent="0.25">
      <c r="A4">
        <v>2</v>
      </c>
      <c r="B4" s="7">
        <v>2</v>
      </c>
      <c r="F4" s="8"/>
      <c r="G4">
        <v>2</v>
      </c>
      <c r="K4" s="8"/>
      <c r="L4" s="7"/>
      <c r="M4">
        <v>2</v>
      </c>
      <c r="P4" s="8"/>
      <c r="Q4" s="7">
        <v>2</v>
      </c>
      <c r="U4" s="8"/>
      <c r="V4" s="7">
        <v>2</v>
      </c>
      <c r="Z4" s="8"/>
      <c r="AA4" s="7">
        <v>2</v>
      </c>
      <c r="AE4" s="8"/>
      <c r="AF4">
        <v>2</v>
      </c>
      <c r="AJ4" s="8"/>
      <c r="AK4" s="7">
        <v>2</v>
      </c>
      <c r="AO4" s="8"/>
    </row>
    <row r="5" spans="1:42" x14ac:dyDescent="0.25">
      <c r="A5">
        <v>3</v>
      </c>
      <c r="B5" s="7">
        <v>2</v>
      </c>
      <c r="F5" s="8"/>
      <c r="G5" s="7">
        <v>2</v>
      </c>
      <c r="K5" s="8"/>
      <c r="L5" s="7">
        <v>2</v>
      </c>
      <c r="P5" s="8"/>
      <c r="Q5">
        <v>2</v>
      </c>
      <c r="U5" s="8"/>
      <c r="V5" s="7">
        <v>2</v>
      </c>
      <c r="Z5" s="8"/>
      <c r="AA5" s="7">
        <v>2</v>
      </c>
      <c r="AE5" s="8"/>
      <c r="AF5">
        <v>2</v>
      </c>
      <c r="AJ5" s="8"/>
      <c r="AK5" s="7">
        <v>2</v>
      </c>
      <c r="AO5" s="8"/>
    </row>
    <row r="6" spans="1:42" x14ac:dyDescent="0.25">
      <c r="A6">
        <v>4</v>
      </c>
      <c r="B6" s="7">
        <v>2</v>
      </c>
      <c r="F6" s="8"/>
      <c r="G6" s="7">
        <v>2</v>
      </c>
      <c r="K6" s="8"/>
      <c r="L6" s="7">
        <v>2</v>
      </c>
      <c r="P6" s="8"/>
      <c r="R6">
        <v>2</v>
      </c>
      <c r="U6" s="8"/>
      <c r="V6" s="7">
        <v>2</v>
      </c>
      <c r="Z6" s="8"/>
      <c r="AA6" s="7">
        <v>2</v>
      </c>
      <c r="AE6" s="8"/>
      <c r="AF6" s="7">
        <v>2</v>
      </c>
      <c r="AJ6" s="8"/>
      <c r="AK6">
        <v>2</v>
      </c>
      <c r="AO6" s="8"/>
      <c r="AP6" s="7"/>
    </row>
    <row r="7" spans="1:42" x14ac:dyDescent="0.25">
      <c r="A7">
        <v>5</v>
      </c>
      <c r="B7" s="7">
        <v>2</v>
      </c>
      <c r="F7" s="8"/>
      <c r="G7" s="7">
        <v>2</v>
      </c>
      <c r="K7" s="8"/>
      <c r="L7" s="7">
        <v>2</v>
      </c>
      <c r="P7" s="8"/>
      <c r="Q7">
        <v>2</v>
      </c>
      <c r="U7" s="8"/>
      <c r="V7" s="7">
        <v>2</v>
      </c>
      <c r="Z7" s="8"/>
      <c r="AA7" s="7">
        <v>2</v>
      </c>
      <c r="AE7" s="8"/>
      <c r="AF7">
        <v>2</v>
      </c>
      <c r="AJ7" s="8"/>
      <c r="AK7" s="7">
        <v>2</v>
      </c>
      <c r="AO7" s="8"/>
    </row>
    <row r="8" spans="1:42" x14ac:dyDescent="0.25">
      <c r="A8">
        <v>6</v>
      </c>
      <c r="B8" s="7">
        <v>2</v>
      </c>
      <c r="F8" s="8"/>
      <c r="G8" s="7">
        <v>2</v>
      </c>
      <c r="K8" s="8"/>
      <c r="L8" s="7">
        <v>2</v>
      </c>
      <c r="P8" s="8"/>
      <c r="Q8">
        <v>2</v>
      </c>
      <c r="U8" s="8"/>
      <c r="V8" s="7">
        <v>2</v>
      </c>
      <c r="Z8" s="8"/>
      <c r="AA8" s="7">
        <v>2</v>
      </c>
      <c r="AE8" s="8"/>
      <c r="AF8">
        <v>2</v>
      </c>
      <c r="AJ8" s="8"/>
      <c r="AK8" s="7">
        <v>2</v>
      </c>
      <c r="AO8" s="8"/>
    </row>
    <row r="9" spans="1:42" x14ac:dyDescent="0.25">
      <c r="A9">
        <v>7</v>
      </c>
      <c r="B9" s="7">
        <v>2</v>
      </c>
      <c r="F9" s="8"/>
      <c r="G9" s="7">
        <v>2</v>
      </c>
      <c r="K9" s="8"/>
      <c r="L9" s="7">
        <v>2</v>
      </c>
      <c r="P9" s="8"/>
      <c r="Q9">
        <v>2</v>
      </c>
      <c r="U9" s="8"/>
      <c r="V9" s="7">
        <v>2</v>
      </c>
      <c r="Z9" s="8"/>
      <c r="AA9" s="7">
        <v>2</v>
      </c>
      <c r="AE9" s="8"/>
      <c r="AF9">
        <v>2</v>
      </c>
      <c r="AJ9" s="8"/>
      <c r="AK9" s="7">
        <v>2</v>
      </c>
      <c r="AO9" s="8"/>
    </row>
    <row r="10" spans="1:42" x14ac:dyDescent="0.25">
      <c r="A10">
        <v>8</v>
      </c>
      <c r="B10" s="7">
        <v>2</v>
      </c>
      <c r="F10" s="8"/>
      <c r="G10" s="7">
        <v>2</v>
      </c>
      <c r="K10" s="8"/>
      <c r="L10" s="7">
        <v>2</v>
      </c>
      <c r="P10" s="8"/>
      <c r="Q10">
        <v>2</v>
      </c>
      <c r="U10" s="8"/>
      <c r="V10" s="7">
        <v>2</v>
      </c>
      <c r="Z10" s="8"/>
      <c r="AA10" s="7">
        <v>2</v>
      </c>
      <c r="AE10" s="8"/>
      <c r="AF10">
        <v>2</v>
      </c>
      <c r="AJ10" s="8"/>
      <c r="AK10" s="7">
        <v>2</v>
      </c>
      <c r="AO10" s="8"/>
    </row>
    <row r="11" spans="1:42" x14ac:dyDescent="0.25">
      <c r="A11">
        <v>9</v>
      </c>
      <c r="B11" s="7">
        <v>2</v>
      </c>
      <c r="F11" s="8"/>
      <c r="G11" s="7">
        <v>2</v>
      </c>
      <c r="K11" s="8"/>
      <c r="L11" s="7">
        <v>2</v>
      </c>
      <c r="P11" s="8"/>
      <c r="Q11">
        <v>2</v>
      </c>
      <c r="U11" s="8"/>
      <c r="V11" s="7">
        <v>2</v>
      </c>
      <c r="Z11" s="8"/>
      <c r="AA11" s="7">
        <v>2</v>
      </c>
      <c r="AE11" s="8"/>
      <c r="AF11">
        <v>2</v>
      </c>
      <c r="AJ11" s="8"/>
      <c r="AK11" s="7">
        <v>2</v>
      </c>
      <c r="AO11" s="8"/>
    </row>
    <row r="12" spans="1:42" x14ac:dyDescent="0.25">
      <c r="A12">
        <v>10</v>
      </c>
      <c r="B12" s="7">
        <v>2</v>
      </c>
      <c r="F12" s="8"/>
      <c r="G12" s="7">
        <v>2</v>
      </c>
      <c r="K12" s="8"/>
      <c r="L12" s="7">
        <v>2</v>
      </c>
      <c r="P12" s="8"/>
      <c r="Q12">
        <v>2</v>
      </c>
      <c r="U12" s="8"/>
      <c r="V12" s="7">
        <v>2</v>
      </c>
      <c r="Z12" s="8"/>
      <c r="AA12" s="7">
        <v>2</v>
      </c>
      <c r="AE12" s="8"/>
      <c r="AF12">
        <v>2</v>
      </c>
      <c r="AJ12" s="8"/>
      <c r="AK12" s="7">
        <v>2</v>
      </c>
      <c r="AO12" s="8"/>
    </row>
    <row r="13" spans="1:42" x14ac:dyDescent="0.25">
      <c r="A13">
        <v>11</v>
      </c>
      <c r="B13" s="7">
        <v>2</v>
      </c>
      <c r="F13" s="8"/>
      <c r="G13" s="7">
        <v>2</v>
      </c>
      <c r="K13" s="8"/>
      <c r="L13" s="7">
        <v>2</v>
      </c>
      <c r="P13" s="8"/>
      <c r="Q13">
        <v>2</v>
      </c>
      <c r="U13" s="8"/>
      <c r="V13" s="7">
        <v>2</v>
      </c>
      <c r="Z13" s="8"/>
      <c r="AA13" s="7">
        <v>2</v>
      </c>
      <c r="AE13" s="8"/>
      <c r="AF13">
        <v>2</v>
      </c>
      <c r="AJ13" s="8"/>
      <c r="AK13" s="7">
        <v>2</v>
      </c>
      <c r="AO13" s="8"/>
    </row>
    <row r="14" spans="1:42" x14ac:dyDescent="0.25">
      <c r="A14">
        <v>12</v>
      </c>
      <c r="B14" s="7">
        <v>2</v>
      </c>
      <c r="F14" s="8"/>
      <c r="G14" s="7">
        <v>2</v>
      </c>
      <c r="K14" s="8"/>
      <c r="L14" s="7">
        <v>2</v>
      </c>
      <c r="P14" s="8"/>
      <c r="Q14">
        <v>2</v>
      </c>
      <c r="U14" s="8"/>
      <c r="V14" s="7">
        <v>2</v>
      </c>
      <c r="Z14" s="8"/>
      <c r="AA14" s="7">
        <v>2</v>
      </c>
      <c r="AE14" s="8"/>
      <c r="AF14">
        <v>2</v>
      </c>
      <c r="AJ14" s="8"/>
      <c r="AK14" s="7">
        <v>2</v>
      </c>
      <c r="AO14" s="8"/>
    </row>
    <row r="15" spans="1:42" x14ac:dyDescent="0.25">
      <c r="A15">
        <v>13</v>
      </c>
      <c r="B15" s="7">
        <v>2</v>
      </c>
      <c r="F15" s="8"/>
      <c r="G15" s="7">
        <v>1</v>
      </c>
      <c r="H15">
        <v>1</v>
      </c>
      <c r="K15" s="8"/>
      <c r="L15" s="7">
        <v>2</v>
      </c>
      <c r="P15" s="8"/>
      <c r="Q15" s="7">
        <v>1</v>
      </c>
      <c r="R15">
        <v>1</v>
      </c>
      <c r="U15" s="8"/>
      <c r="V15" s="7">
        <v>1</v>
      </c>
      <c r="W15">
        <v>1</v>
      </c>
      <c r="Z15" s="8"/>
      <c r="AA15" s="7">
        <v>2</v>
      </c>
      <c r="AE15" s="8"/>
      <c r="AF15">
        <v>2</v>
      </c>
      <c r="AJ15" s="8"/>
      <c r="AK15" s="7">
        <v>2</v>
      </c>
      <c r="AO15" s="8"/>
    </row>
    <row r="16" spans="1:42" x14ac:dyDescent="0.25">
      <c r="A16">
        <v>14</v>
      </c>
      <c r="B16" s="7">
        <v>2</v>
      </c>
      <c r="F16" s="8"/>
      <c r="G16" s="7">
        <v>1</v>
      </c>
      <c r="H16">
        <v>1</v>
      </c>
      <c r="K16" s="8"/>
      <c r="L16" s="7">
        <v>1</v>
      </c>
      <c r="M16">
        <v>1</v>
      </c>
      <c r="P16" s="8"/>
      <c r="Q16" s="7">
        <v>2</v>
      </c>
      <c r="U16" s="8"/>
      <c r="V16" s="7"/>
      <c r="W16">
        <v>2</v>
      </c>
      <c r="Z16" s="8"/>
      <c r="AA16" s="7"/>
      <c r="AB16">
        <v>2</v>
      </c>
      <c r="AE16" s="8"/>
      <c r="AF16">
        <v>2</v>
      </c>
      <c r="AJ16" s="8"/>
      <c r="AK16" s="7">
        <v>2</v>
      </c>
      <c r="AO16" s="8"/>
    </row>
    <row r="17" spans="1:41" x14ac:dyDescent="0.25">
      <c r="A17">
        <v>15</v>
      </c>
      <c r="B17" s="7">
        <v>2</v>
      </c>
      <c r="F17" s="8"/>
      <c r="H17">
        <v>2</v>
      </c>
      <c r="K17" s="8"/>
      <c r="L17" s="7">
        <v>1</v>
      </c>
      <c r="M17">
        <v>1</v>
      </c>
      <c r="P17" s="8"/>
      <c r="Q17" s="7">
        <v>1</v>
      </c>
      <c r="S17">
        <v>1</v>
      </c>
      <c r="U17" s="8"/>
      <c r="V17" s="7">
        <v>2</v>
      </c>
      <c r="Z17" s="8"/>
      <c r="AA17" s="7"/>
      <c r="AB17">
        <v>2</v>
      </c>
      <c r="AE17" s="8"/>
      <c r="AF17">
        <v>2</v>
      </c>
      <c r="AJ17" s="8"/>
      <c r="AK17" s="7">
        <v>2</v>
      </c>
      <c r="AO17" s="8"/>
    </row>
    <row r="18" spans="1:41" x14ac:dyDescent="0.25">
      <c r="A18">
        <v>16</v>
      </c>
      <c r="B18" s="7">
        <v>1</v>
      </c>
      <c r="C18">
        <v>1</v>
      </c>
      <c r="F18" s="8"/>
      <c r="G18">
        <v>1</v>
      </c>
      <c r="H18">
        <v>1</v>
      </c>
      <c r="K18" s="8"/>
      <c r="L18" s="7">
        <v>2</v>
      </c>
      <c r="P18" s="8"/>
      <c r="Q18" s="7">
        <v>2</v>
      </c>
      <c r="U18" s="8"/>
      <c r="V18" s="7">
        <v>1</v>
      </c>
      <c r="W18">
        <v>1</v>
      </c>
      <c r="Z18" s="8"/>
      <c r="AA18" s="7">
        <v>2</v>
      </c>
      <c r="AE18" s="8"/>
      <c r="AF18">
        <v>1</v>
      </c>
      <c r="AG18">
        <v>1</v>
      </c>
      <c r="AJ18" s="8"/>
      <c r="AK18" s="7">
        <v>2</v>
      </c>
      <c r="AO18" s="8"/>
    </row>
    <row r="19" spans="1:41" x14ac:dyDescent="0.25">
      <c r="A19">
        <v>17</v>
      </c>
      <c r="B19" s="7">
        <v>2</v>
      </c>
      <c r="F19" s="8"/>
      <c r="G19">
        <v>1</v>
      </c>
      <c r="H19">
        <v>1</v>
      </c>
      <c r="K19" s="8"/>
      <c r="L19" s="7">
        <v>1</v>
      </c>
      <c r="M19">
        <v>1</v>
      </c>
      <c r="P19" s="8"/>
      <c r="Q19" s="7">
        <v>2</v>
      </c>
      <c r="U19" s="8"/>
      <c r="V19" s="7">
        <v>1</v>
      </c>
      <c r="W19">
        <v>1</v>
      </c>
      <c r="Z19" s="8"/>
      <c r="AA19" s="7">
        <v>1</v>
      </c>
      <c r="AB19">
        <v>1</v>
      </c>
      <c r="AE19" s="8"/>
      <c r="AF19">
        <v>1</v>
      </c>
      <c r="AG19">
        <v>1</v>
      </c>
      <c r="AJ19" s="8"/>
      <c r="AK19" s="7">
        <v>1</v>
      </c>
      <c r="AL19">
        <v>1</v>
      </c>
      <c r="AO19" s="8"/>
    </row>
    <row r="20" spans="1:41" x14ac:dyDescent="0.25">
      <c r="A20">
        <v>18</v>
      </c>
      <c r="B20" s="7">
        <v>2</v>
      </c>
      <c r="F20" s="8"/>
      <c r="G20" s="7">
        <v>2</v>
      </c>
      <c r="K20" s="8"/>
      <c r="L20" s="7">
        <v>2</v>
      </c>
      <c r="P20" s="8"/>
      <c r="Q20">
        <v>2</v>
      </c>
      <c r="U20" s="8"/>
      <c r="V20" s="7">
        <v>2</v>
      </c>
      <c r="Z20" s="8"/>
      <c r="AA20" s="7">
        <v>2</v>
      </c>
      <c r="AE20" s="8"/>
      <c r="AF20">
        <v>2</v>
      </c>
      <c r="AJ20" s="8"/>
      <c r="AK20" s="7">
        <v>2</v>
      </c>
      <c r="AO20" s="8"/>
    </row>
    <row r="21" spans="1:41" x14ac:dyDescent="0.25">
      <c r="A21">
        <v>19</v>
      </c>
      <c r="B21" s="7">
        <v>2</v>
      </c>
      <c r="F21" s="8"/>
      <c r="G21" s="7">
        <v>2</v>
      </c>
      <c r="K21" s="8"/>
      <c r="L21" s="7">
        <v>2</v>
      </c>
      <c r="P21" s="8"/>
      <c r="Q21">
        <v>2</v>
      </c>
      <c r="U21" s="8"/>
      <c r="V21" s="7">
        <v>2</v>
      </c>
      <c r="Z21" s="8"/>
      <c r="AA21" s="7">
        <v>2</v>
      </c>
      <c r="AE21" s="8"/>
      <c r="AF21">
        <v>2</v>
      </c>
      <c r="AJ21" s="8"/>
      <c r="AK21" s="7">
        <v>2</v>
      </c>
      <c r="AO21" s="8"/>
    </row>
    <row r="22" spans="1:41" x14ac:dyDescent="0.25">
      <c r="A22">
        <v>20</v>
      </c>
      <c r="B22" s="7">
        <v>2</v>
      </c>
      <c r="F22" s="8"/>
      <c r="G22" s="7">
        <v>2</v>
      </c>
      <c r="K22" s="8"/>
      <c r="L22" s="7">
        <v>2</v>
      </c>
      <c r="P22" s="8"/>
      <c r="Q22">
        <v>2</v>
      </c>
      <c r="U22" s="8"/>
      <c r="V22" s="7">
        <v>2</v>
      </c>
      <c r="Z22" s="8"/>
      <c r="AA22" s="7">
        <v>2</v>
      </c>
      <c r="AE22" s="8"/>
      <c r="AF22">
        <v>2</v>
      </c>
      <c r="AJ22" s="8"/>
      <c r="AK22" s="7">
        <v>2</v>
      </c>
      <c r="AO22" s="8"/>
    </row>
    <row r="23" spans="1:41" x14ac:dyDescent="0.25">
      <c r="A23" s="10" t="s">
        <v>18</v>
      </c>
      <c r="B23" s="9">
        <f t="shared" ref="B23:AO23" si="0">SUM(B3:B22)</f>
        <v>39</v>
      </c>
      <c r="C23" s="9">
        <f t="shared" si="0"/>
        <v>1</v>
      </c>
      <c r="D23" s="9">
        <f t="shared" si="0"/>
        <v>0</v>
      </c>
      <c r="E23" s="9">
        <f t="shared" si="0"/>
        <v>0</v>
      </c>
      <c r="F23" s="9">
        <f t="shared" si="0"/>
        <v>0</v>
      </c>
      <c r="G23" s="9">
        <f t="shared" si="0"/>
        <v>34</v>
      </c>
      <c r="H23" s="9">
        <f t="shared" si="0"/>
        <v>6</v>
      </c>
      <c r="I23" s="9">
        <f t="shared" si="0"/>
        <v>0</v>
      </c>
      <c r="J23" s="9">
        <f t="shared" si="0"/>
        <v>0</v>
      </c>
      <c r="K23" s="9">
        <f t="shared" si="0"/>
        <v>0</v>
      </c>
      <c r="L23" s="9">
        <f t="shared" si="0"/>
        <v>34</v>
      </c>
      <c r="M23" s="9">
        <f t="shared" si="0"/>
        <v>6</v>
      </c>
      <c r="N23" s="9">
        <f t="shared" si="0"/>
        <v>0</v>
      </c>
      <c r="O23" s="9">
        <f t="shared" si="0"/>
        <v>0</v>
      </c>
      <c r="P23" s="9">
        <f t="shared" si="0"/>
        <v>0</v>
      </c>
      <c r="Q23" s="9">
        <f t="shared" si="0"/>
        <v>36</v>
      </c>
      <c r="R23" s="9">
        <f t="shared" si="0"/>
        <v>3</v>
      </c>
      <c r="S23" s="9">
        <f t="shared" si="0"/>
        <v>1</v>
      </c>
      <c r="T23" s="9">
        <f t="shared" si="0"/>
        <v>0</v>
      </c>
      <c r="U23" s="9">
        <f t="shared" si="0"/>
        <v>0</v>
      </c>
      <c r="V23" s="9">
        <f t="shared" si="0"/>
        <v>35</v>
      </c>
      <c r="W23" s="9">
        <f t="shared" si="0"/>
        <v>5</v>
      </c>
      <c r="X23" s="9">
        <f t="shared" si="0"/>
        <v>0</v>
      </c>
      <c r="Y23" s="9">
        <f t="shared" si="0"/>
        <v>0</v>
      </c>
      <c r="Z23" s="9">
        <f t="shared" si="0"/>
        <v>0</v>
      </c>
      <c r="AA23" s="9">
        <f t="shared" si="0"/>
        <v>35</v>
      </c>
      <c r="AB23" s="9">
        <f t="shared" si="0"/>
        <v>5</v>
      </c>
      <c r="AC23" s="9">
        <f t="shared" si="0"/>
        <v>0</v>
      </c>
      <c r="AD23" s="9">
        <f t="shared" si="0"/>
        <v>0</v>
      </c>
      <c r="AE23" s="9">
        <f t="shared" si="0"/>
        <v>0</v>
      </c>
      <c r="AF23" s="9">
        <f t="shared" si="0"/>
        <v>38</v>
      </c>
      <c r="AG23" s="9">
        <f t="shared" si="0"/>
        <v>2</v>
      </c>
      <c r="AH23" s="9">
        <f t="shared" si="0"/>
        <v>0</v>
      </c>
      <c r="AI23" s="9">
        <f t="shared" si="0"/>
        <v>0</v>
      </c>
      <c r="AJ23" s="9">
        <f t="shared" si="0"/>
        <v>0</v>
      </c>
      <c r="AK23" s="9">
        <f t="shared" si="0"/>
        <v>39</v>
      </c>
      <c r="AL23" s="9">
        <f t="shared" si="0"/>
        <v>1</v>
      </c>
      <c r="AM23" s="9">
        <f t="shared" si="0"/>
        <v>0</v>
      </c>
      <c r="AN23" s="9">
        <f t="shared" si="0"/>
        <v>0</v>
      </c>
      <c r="AO23" s="9">
        <f t="shared" si="0"/>
        <v>0</v>
      </c>
    </row>
    <row r="24" spans="1:41" x14ac:dyDescent="0.25">
      <c r="B24">
        <f t="shared" ref="B24:AO24" si="1">B23*B2</f>
        <v>0</v>
      </c>
      <c r="C24">
        <f t="shared" si="1"/>
        <v>-1</v>
      </c>
      <c r="D24">
        <f t="shared" si="1"/>
        <v>0</v>
      </c>
      <c r="E24">
        <f t="shared" si="1"/>
        <v>0</v>
      </c>
      <c r="F24" s="8">
        <f t="shared" si="1"/>
        <v>0</v>
      </c>
      <c r="G24">
        <f t="shared" si="1"/>
        <v>0</v>
      </c>
      <c r="H24">
        <f t="shared" si="1"/>
        <v>-6</v>
      </c>
      <c r="I24">
        <f t="shared" si="1"/>
        <v>0</v>
      </c>
      <c r="J24">
        <f t="shared" si="1"/>
        <v>0</v>
      </c>
      <c r="K24" s="8">
        <f t="shared" si="1"/>
        <v>0</v>
      </c>
      <c r="L24">
        <f t="shared" si="1"/>
        <v>0</v>
      </c>
      <c r="M24">
        <f t="shared" si="1"/>
        <v>-6</v>
      </c>
      <c r="N24">
        <f t="shared" si="1"/>
        <v>0</v>
      </c>
      <c r="O24">
        <f t="shared" si="1"/>
        <v>0</v>
      </c>
      <c r="P24" s="8">
        <f t="shared" si="1"/>
        <v>0</v>
      </c>
      <c r="Q24">
        <f t="shared" si="1"/>
        <v>0</v>
      </c>
      <c r="R24">
        <f t="shared" si="1"/>
        <v>-3</v>
      </c>
      <c r="S24">
        <f t="shared" si="1"/>
        <v>-2</v>
      </c>
      <c r="T24">
        <f t="shared" si="1"/>
        <v>0</v>
      </c>
      <c r="U24" s="8">
        <f t="shared" si="1"/>
        <v>0</v>
      </c>
      <c r="V24">
        <f t="shared" si="1"/>
        <v>0</v>
      </c>
      <c r="W24">
        <f t="shared" si="1"/>
        <v>-5</v>
      </c>
      <c r="X24">
        <f t="shared" si="1"/>
        <v>0</v>
      </c>
      <c r="Y24">
        <f t="shared" si="1"/>
        <v>0</v>
      </c>
      <c r="Z24" s="8">
        <f t="shared" si="1"/>
        <v>0</v>
      </c>
      <c r="AA24">
        <f t="shared" si="1"/>
        <v>0</v>
      </c>
      <c r="AB24">
        <f t="shared" si="1"/>
        <v>-5</v>
      </c>
      <c r="AC24">
        <f t="shared" si="1"/>
        <v>0</v>
      </c>
      <c r="AD24">
        <f t="shared" si="1"/>
        <v>0</v>
      </c>
      <c r="AE24" s="8">
        <f t="shared" si="1"/>
        <v>0</v>
      </c>
      <c r="AF24">
        <f t="shared" si="1"/>
        <v>0</v>
      </c>
      <c r="AG24">
        <f t="shared" si="1"/>
        <v>-2</v>
      </c>
      <c r="AH24">
        <f t="shared" si="1"/>
        <v>0</v>
      </c>
      <c r="AI24">
        <f t="shared" si="1"/>
        <v>0</v>
      </c>
      <c r="AJ24" s="8">
        <f t="shared" si="1"/>
        <v>0</v>
      </c>
      <c r="AK24">
        <f t="shared" si="1"/>
        <v>0</v>
      </c>
      <c r="AL24">
        <f t="shared" si="1"/>
        <v>-1</v>
      </c>
      <c r="AM24">
        <f t="shared" si="1"/>
        <v>0</v>
      </c>
      <c r="AN24">
        <f t="shared" si="1"/>
        <v>0</v>
      </c>
      <c r="AO24" s="8">
        <f t="shared" si="1"/>
        <v>0</v>
      </c>
    </row>
    <row r="25" spans="1:41" x14ac:dyDescent="0.25">
      <c r="A25" s="11" t="s">
        <v>19</v>
      </c>
      <c r="F25" s="12">
        <f>SUM(B24:F24)/40</f>
        <v>-2.5000000000000001E-2</v>
      </c>
      <c r="K25" s="12">
        <f>SUM(G24:K24)/40</f>
        <v>-0.15</v>
      </c>
      <c r="P25" s="12">
        <f>SUM(L24:P24)/40</f>
        <v>-0.15</v>
      </c>
      <c r="U25" s="12">
        <f>SUM(Q24:U24)/40</f>
        <v>-0.125</v>
      </c>
      <c r="Z25" s="12">
        <f>SUM(V24:Z24)/40</f>
        <v>-0.125</v>
      </c>
      <c r="AE25" s="12">
        <f>SUM(AA24:AE24)/40</f>
        <v>-0.125</v>
      </c>
      <c r="AJ25" s="12">
        <f>SUM(AF24:AJ24)/40</f>
        <v>-0.05</v>
      </c>
      <c r="AO25" s="12">
        <f>SUM(AK24:AO24)/40</f>
        <v>-2.5000000000000001E-2</v>
      </c>
    </row>
  </sheetData>
  <mergeCells count="8">
    <mergeCell ref="AF1:AJ1"/>
    <mergeCell ref="AK1:AO1"/>
    <mergeCell ref="B1:F1"/>
    <mergeCell ref="G1:K1"/>
    <mergeCell ref="L1:P1"/>
    <mergeCell ref="Q1:U1"/>
    <mergeCell ref="V1:Z1"/>
    <mergeCell ref="A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Zushiela Arandela</dc:creator>
  <cp:lastModifiedBy>Zushiela Arandela</cp:lastModifiedBy>
  <dcterms:created xsi:type="dcterms:W3CDTF">2025-04-19T17:16:16Z</dcterms:created>
  <dcterms:modified xsi:type="dcterms:W3CDTF">2025-05-05T15:43:18Z</dcterms:modified>
</cp:coreProperties>
</file>